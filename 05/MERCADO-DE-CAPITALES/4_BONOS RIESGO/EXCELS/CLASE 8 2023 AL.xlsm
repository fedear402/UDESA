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ruc\Dropbox\CLASES Y CAPACITACIONES\MERCADO DE CAPITALES 2023\CLASES MERCADOS\MAGISTRALES\CLASE 7\"/>
    </mc:Choice>
  </mc:AlternateContent>
  <xr:revisionPtr revIDLastSave="0" documentId="8_{17F9F32B-6704-4E39-B503-2B01B05BC2FC}" xr6:coauthVersionLast="47" xr6:coauthVersionMax="47" xr10:uidLastSave="{00000000-0000-0000-0000-000000000000}"/>
  <bookViews>
    <workbookView xWindow="-28920" yWindow="-120" windowWidth="29040" windowHeight="15720" tabRatio="699" activeTab="3" xr2:uid="{00000000-000D-0000-FFFF-FFFF00000000}"/>
  </bookViews>
  <sheets>
    <sheet name="PLAZO DE VENCIMIENTO" sheetId="4" r:id="rId1"/>
    <sheet name="TAMAÑO DE CUPÓN" sheetId="5" r:id="rId2"/>
    <sheet name="FRECUENCIA DE CUPON" sheetId="6" r:id="rId3"/>
    <sheet name="DURATION" sheetId="3" r:id="rId4"/>
  </sheet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3" l="1"/>
  <c r="Y13" i="3" l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D46" i="6" l="1"/>
  <c r="C46" i="6"/>
  <c r="C44" i="6"/>
  <c r="C42" i="6"/>
  <c r="C40" i="6"/>
  <c r="C38" i="6"/>
  <c r="C36" i="6"/>
  <c r="C34" i="6"/>
  <c r="C32" i="6"/>
  <c r="C30" i="6"/>
  <c r="C28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27" i="6"/>
  <c r="B27" i="6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C26" i="5"/>
  <c r="E50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6" i="4"/>
  <c r="D35" i="4"/>
  <c r="D27" i="4"/>
  <c r="D28" i="4"/>
  <c r="D29" i="4"/>
  <c r="D30" i="4"/>
  <c r="D31" i="4"/>
  <c r="D32" i="4"/>
  <c r="D33" i="4"/>
  <c r="D34" i="4"/>
  <c r="D26" i="4"/>
  <c r="C26" i="4"/>
  <c r="I8" i="3" l="1"/>
  <c r="I5" i="3"/>
  <c r="F32" i="3" l="1"/>
  <c r="G32" i="3"/>
  <c r="AA11" i="3" l="1"/>
  <c r="Z11" i="3"/>
  <c r="AB11" i="3" l="1"/>
</calcChain>
</file>

<file path=xl/sharedStrings.xml><?xml version="1.0" encoding="utf-8"?>
<sst xmlns="http://schemas.openxmlformats.org/spreadsheetml/2006/main" count="98" uniqueCount="43">
  <si>
    <t>CR=</t>
  </si>
  <si>
    <t>FV=</t>
  </si>
  <si>
    <t>INTERESES</t>
  </si>
  <si>
    <t>AMORTIZAC.</t>
  </si>
  <si>
    <t>SERVICIO</t>
  </si>
  <si>
    <t>FECHA</t>
  </si>
  <si>
    <t>Capital.</t>
  </si>
  <si>
    <t>Actualiz.</t>
  </si>
  <si>
    <t>Monto</t>
  </si>
  <si>
    <t>VERIFICACIÓN</t>
  </si>
  <si>
    <t>DURATION</t>
  </si>
  <si>
    <t>DURATION MODIFICADA</t>
  </si>
  <si>
    <t>TIR=</t>
  </si>
  <si>
    <t xml:space="preserve">También puede entenderse como el momento en que recuperamos la Inversión, </t>
  </si>
  <si>
    <t>incluyendo el rendimiento que habrámos obtenido si hubiéramos invertido 100</t>
  </si>
  <si>
    <t>3.</t>
  </si>
  <si>
    <t>1.</t>
  </si>
  <si>
    <t>2.</t>
  </si>
  <si>
    <t>k</t>
  </si>
  <si>
    <t>Principales Condiciones de Emisión</t>
  </si>
  <si>
    <t>VN=</t>
  </si>
  <si>
    <t>TASA CUPON=</t>
  </si>
  <si>
    <t xml:space="preserve">BONO A </t>
  </si>
  <si>
    <t xml:space="preserve">BONO B </t>
  </si>
  <si>
    <t>BONO C</t>
  </si>
  <si>
    <t>t</t>
  </si>
  <si>
    <t>FLUJOS:</t>
  </si>
  <si>
    <t>T=</t>
  </si>
  <si>
    <t>TIR REQUERIDA</t>
  </si>
  <si>
    <t>Cambio %</t>
  </si>
  <si>
    <t>Supongamos que la tasa sube de 10% a 11%,</t>
  </si>
  <si>
    <t>ANTES: Cuando los bonos tenían cupon,</t>
  </si>
  <si>
    <t>Supongamos estos tres bonos:</t>
  </si>
  <si>
    <t xml:space="preserve">Extremo: Supongo bonos cero cupon y los comparo </t>
  </si>
  <si>
    <t>con el ejemplo anterior.</t>
  </si>
  <si>
    <t>FRECUENCIA=</t>
  </si>
  <si>
    <t>Supongo bonos:</t>
  </si>
  <si>
    <t>Es una medida de la vida media ponderada del bono.</t>
  </si>
  <si>
    <t>AMORTIZACIÓN AL VENC.</t>
  </si>
  <si>
    <t>Referencia acerca de la volatilidad precio del bono</t>
  </si>
  <si>
    <t>Otra forma TASA()</t>
  </si>
  <si>
    <t>Δ precio en función de la Δ yield</t>
  </si>
  <si>
    <t>Pm=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</si>
</sst>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&quot;$&quot;\ #,##0.00;[Red]\-&quot;$&quot;\ #,##0.00"/>
    <numFmt numFmtId="165" formatCode="_-* #,##0_-;\-* #,##0_-;_-* &quot;-&quot;??_-;_-@_-"/>
    <numFmt numFmtId="166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2" borderId="0" xfId="0" applyFont="1" applyFill="1"/>
    <xf numFmtId="0" fontId="0" fillId="2" borderId="0" xfId="0" applyFill="1"/>
    <xf numFmtId="9" fontId="0" fillId="2" borderId="0" xfId="0" applyNumberFormat="1" applyFill="1"/>
    <xf numFmtId="2" fontId="0" fillId="2" borderId="0" xfId="0" applyNumberFormat="1" applyFill="1" applyAlignment="1">
      <alignment horizontal="center" vertical="center" wrapText="1"/>
    </xf>
    <xf numFmtId="2" fontId="5" fillId="2" borderId="0" xfId="0" applyNumberFormat="1" applyFont="1" applyFill="1" applyAlignment="1">
      <alignment horizontal="center" vertical="center" wrapText="1"/>
    </xf>
    <xf numFmtId="43" fontId="0" fillId="2" borderId="0" xfId="1" applyFont="1" applyFill="1"/>
    <xf numFmtId="43" fontId="0" fillId="2" borderId="0" xfId="0" applyNumberFormat="1" applyFill="1"/>
    <xf numFmtId="43" fontId="2" fillId="2" borderId="0" xfId="0" applyNumberFormat="1" applyFont="1" applyFill="1"/>
    <xf numFmtId="43" fontId="2" fillId="2" borderId="0" xfId="1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65" fontId="0" fillId="2" borderId="0" xfId="1" applyNumberFormat="1" applyFont="1" applyFill="1"/>
    <xf numFmtId="0" fontId="2" fillId="3" borderId="0" xfId="0" applyFont="1" applyFill="1"/>
    <xf numFmtId="9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2" borderId="0" xfId="0" applyNumberFormat="1" applyFill="1"/>
    <xf numFmtId="10" fontId="0" fillId="2" borderId="0" xfId="2" applyNumberFormat="1" applyFont="1" applyFill="1"/>
    <xf numFmtId="165" fontId="0" fillId="2" borderId="0" xfId="0" applyNumberFormat="1" applyFill="1"/>
    <xf numFmtId="166" fontId="0" fillId="2" borderId="0" xfId="2" applyNumberFormat="1" applyFont="1" applyFill="1"/>
    <xf numFmtId="2" fontId="4" fillId="3" borderId="1" xfId="0" applyNumberFormat="1" applyFont="1" applyFill="1" applyBorder="1" applyAlignment="1">
      <alignment horizontal="center" vertical="center" wrapText="1"/>
    </xf>
    <xf numFmtId="43" fontId="4" fillId="3" borderId="1" xfId="1" applyFont="1" applyFill="1" applyBorder="1" applyAlignment="1">
      <alignment horizontal="center" vertical="center" wrapText="1"/>
    </xf>
    <xf numFmtId="0" fontId="3" fillId="2" borderId="0" xfId="0" applyFont="1" applyFill="1"/>
    <xf numFmtId="2" fontId="4" fillId="3" borderId="1" xfId="0" applyNumberFormat="1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09BBFCF2-83CF-4E34-B175-5A3077F1228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en Duration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DURATION!$Y$12:$Y$31</c:f>
              <c:numCache>
                <c:formatCode>_(* #,##0.00_);_(* \(#,##0.00\);_(* "-"??_);_(@_)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</c:numCache>
            </c:numRef>
          </c:xVal>
          <c:yVal>
            <c:numRef>
              <c:f>DURATION!$AB$12:$AB$31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12-436B-88AB-1B0752B03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17968"/>
        <c:axId val="137392088"/>
      </c:scatterChart>
      <c:valAx>
        <c:axId val="50541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92088"/>
        <c:crosses val="autoZero"/>
        <c:crossBetween val="midCat"/>
      </c:valAx>
      <c:valAx>
        <c:axId val="137392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Capitalizaciones,</a:t>
            </a:r>
            <a:r>
              <a:rPr lang="es-AR" baseline="0"/>
              <a:t> Actualizaciones y Monto ante cambio e TIR - Horizonte = Duration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DURATION!$M$10</c:f>
              <c:strCache>
                <c:ptCount val="1"/>
                <c:pt idx="0">
                  <c:v>Capital.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DURATION!$M$20</c:f>
              <c:numCache>
                <c:formatCode>_(* #,##0.00_);_(* \(#,##0.00\);_(*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9C6-4967-A3B8-1EBD69087016}"/>
            </c:ext>
          </c:extLst>
        </c:ser>
        <c:ser>
          <c:idx val="1"/>
          <c:order val="1"/>
          <c:tx>
            <c:strRef>
              <c:f>DURATION!$N$10</c:f>
              <c:strCache>
                <c:ptCount val="1"/>
                <c:pt idx="0">
                  <c:v>Actualiz.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DURATION!$N$20</c:f>
              <c:numCache>
                <c:formatCode>_(* #,##0.00_);_(* \(#,##0.00\);_(*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19C6-4967-A3B8-1EBD69087016}"/>
            </c:ext>
          </c:extLst>
        </c:ser>
        <c:ser>
          <c:idx val="2"/>
          <c:order val="2"/>
          <c:tx>
            <c:strRef>
              <c:f>DURATION!$O$10</c:f>
              <c:strCache>
                <c:ptCount val="1"/>
                <c:pt idx="0">
                  <c:v>Monto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C6-4967-A3B8-1EBD690870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DURATION!$O$20</c:f>
              <c:numCache>
                <c:formatCode>_(* #,##0.00_);_(* \(#,##0.00\);_(*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19C6-4967-A3B8-1EBD69087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94440"/>
        <c:axId val="137395224"/>
      </c:barChart>
      <c:catAx>
        <c:axId val="13739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95224"/>
        <c:crosses val="autoZero"/>
        <c:auto val="1"/>
        <c:lblAlgn val="ctr"/>
        <c:lblOffset val="100"/>
        <c:noMultiLvlLbl val="0"/>
      </c:catAx>
      <c:valAx>
        <c:axId val="137395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9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N$4" max="100" page="10" val="2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23</xdr:row>
      <xdr:rowOff>19050</xdr:rowOff>
    </xdr:from>
    <xdr:to>
      <xdr:col>6</xdr:col>
      <xdr:colOff>323850</xdr:colOff>
      <xdr:row>25</xdr:row>
      <xdr:rowOff>141971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5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47800" y="4829175"/>
              <a:ext cx="3152775" cy="50392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20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p>
                            </m:sSup>
                          </m:den>
                        </m:f>
                        <m:r>
                          <a:rPr lang="es-AR" sz="120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s-AR" sz="1200" i="1">
                            <a:latin typeface="Cambria Math" panose="02040503050406030204" pitchFamily="18" charset="0"/>
                          </a:rPr>
                          <m:t>+…+</m:t>
                        </m:r>
                        <m:f>
                          <m:f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AR" sz="12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𝐶𝐹</m:t>
                                </m:r>
                              </m:e>
                              <m:sub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b>
                            </m:sSub>
                          </m:num>
                          <m:den>
                            <m:sSup>
                              <m:sSupPr>
                                <m:ctrlPr>
                                  <a:rPr lang="es-AR" sz="12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es-AR" sz="1200" i="1">
                                        <a:latin typeface="Cambria Math" panose="02040503050406030204" pitchFamily="18" charset="0"/>
                                      </a:rPr>
                                      <m:t>𝑇𝐼𝑅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s-AR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p>
                            </m:sSup>
                          </m:den>
                        </m:f>
                      </m:num>
                      <m:den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2" name="CuadroTexto 5"/>
            <xdr:cNvSpPr txBox="1"/>
          </xdr:nvSpPr>
          <xdr:spPr>
            <a:xfrm>
              <a:off x="1447800" y="4829175"/>
              <a:ext cx="3152775" cy="50392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i="0">
                  <a:latin typeface="Cambria Math" panose="02040503050406030204" pitchFamily="18" charset="0"/>
                </a:rPr>
                <a:t>𝐷=(〖</a:t>
              </a:r>
              <a:r>
                <a:rPr lang="es-AR" sz="1200" b="0" i="0">
                  <a:latin typeface="Cambria Math" panose="02040503050406030204" pitchFamily="18" charset="0"/>
                </a:rPr>
                <a:t>1</a:t>
              </a:r>
              <a:r>
                <a:rPr lang="es-AR" sz="1200" i="0">
                  <a:latin typeface="Cambria Math" panose="02040503050406030204" pitchFamily="18" charset="0"/>
                </a:rPr>
                <a:t>𝐶𝐹〗_1/(1+𝑇𝐼𝑅)^</a:t>
              </a:r>
              <a:r>
                <a:rPr lang="es-AR" sz="1200" b="0" i="0">
                  <a:latin typeface="Cambria Math" panose="02040503050406030204" pitchFamily="18" charset="0"/>
                </a:rPr>
                <a:t>1 </a:t>
              </a:r>
              <a:r>
                <a:rPr lang="es-AR" sz="1200" i="0">
                  <a:latin typeface="Cambria Math" panose="02040503050406030204" pitchFamily="18" charset="0"/>
                </a:rPr>
                <a:t>+〖</a:t>
              </a:r>
              <a:r>
                <a:rPr lang="es-AR" sz="1200" b="0" i="0">
                  <a:latin typeface="Cambria Math" panose="02040503050406030204" pitchFamily="18" charset="0"/>
                </a:rPr>
                <a:t>2</a:t>
              </a:r>
              <a:r>
                <a:rPr lang="es-AR" sz="1200" i="0">
                  <a:latin typeface="Cambria Math" panose="02040503050406030204" pitchFamily="18" charset="0"/>
                </a:rPr>
                <a:t>𝐶𝐹〗_2/(1+𝑇𝐼𝑅)^</a:t>
              </a:r>
              <a:r>
                <a:rPr lang="es-AR" sz="1200" b="0" i="0">
                  <a:latin typeface="Cambria Math" panose="02040503050406030204" pitchFamily="18" charset="0"/>
                </a:rPr>
                <a:t>2 </a:t>
              </a:r>
              <a:r>
                <a:rPr lang="es-AR" sz="1200" i="0">
                  <a:latin typeface="Cambria Math" panose="02040503050406030204" pitchFamily="18" charset="0"/>
                </a:rPr>
                <a:t>+…+〖</a:t>
              </a:r>
              <a:r>
                <a:rPr lang="es-AR" sz="1200" b="0" i="0">
                  <a:latin typeface="Cambria Math" panose="02040503050406030204" pitchFamily="18" charset="0"/>
                </a:rPr>
                <a:t>𝑇</a:t>
              </a:r>
              <a:r>
                <a:rPr lang="es-AR" sz="1200" i="0">
                  <a:latin typeface="Cambria Math" panose="02040503050406030204" pitchFamily="18" charset="0"/>
                </a:rPr>
                <a:t>𝐶𝐹〗_𝑇/(1+𝑇𝐼𝑅)^𝑇 )/</a:t>
              </a:r>
              <a:r>
                <a:rPr lang="es-AR" sz="1200" b="0" i="0">
                  <a:latin typeface="Cambria Math" panose="02040503050406030204" pitchFamily="18" charset="0"/>
                </a:rPr>
                <a:t>𝑃</a:t>
              </a:r>
              <a:endParaRPr lang="es-AR" sz="1200"/>
            </a:p>
          </xdr:txBody>
        </xdr:sp>
      </mc:Fallback>
    </mc:AlternateContent>
    <xdr:clientData/>
  </xdr:twoCellAnchor>
  <xdr:oneCellAnchor>
    <xdr:from>
      <xdr:col>1</xdr:col>
      <xdr:colOff>709612</xdr:colOff>
      <xdr:row>36</xdr:row>
      <xdr:rowOff>147637</xdr:rowOff>
    </xdr:from>
    <xdr:ext cx="6030690" cy="281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471612" y="6862762"/>
              <a:ext cx="6030690" cy="281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AR" sz="1200" b="0" i="1">
                      <a:latin typeface="Cambria Math" panose="02040503050406030204" pitchFamily="18" charset="0"/>
                    </a:rPr>
                    <m:t>10</m:t>
                  </m:r>
                  <m:sSup>
                    <m:sSupPr>
                      <m:ctrlPr>
                        <a:rPr lang="es-AR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AR" sz="1200" b="0" i="1">
                              <a:latin typeface="Cambria Math" panose="02040503050406030204" pitchFamily="18" charset="0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latin typeface="Cambria Math" panose="02040503050406030204" pitchFamily="18" charset="0"/>
                        </a:rPr>
                        <m:t>3,17</m:t>
                      </m:r>
                    </m:sup>
                  </m:sSup>
                  <m:r>
                    <a:rPr lang="es-AR" sz="1200" b="0" i="1">
                      <a:latin typeface="Cambria Math" panose="02040503050406030204" pitchFamily="18" charset="0"/>
                    </a:rPr>
                    <m:t>+10</m:t>
                  </m:r>
                  <m:sSup>
                    <m:sSupPr>
                      <m:ctrlPr>
                        <a:rPr lang="es-AR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AR" sz="1200" b="0" i="1">
                              <a:latin typeface="Cambria Math" panose="02040503050406030204" pitchFamily="18" charset="0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latin typeface="Cambria Math" panose="02040503050406030204" pitchFamily="18" charset="0"/>
                        </a:rPr>
                        <m:t>2,17</m:t>
                      </m:r>
                    </m:sup>
                  </m:sSup>
                  <m:r>
                    <a:rPr lang="es-AR" sz="1200" b="0" i="1">
                      <a:latin typeface="Cambria Math" panose="02040503050406030204" pitchFamily="18" charset="0"/>
                    </a:rPr>
                    <m:t>+</m:t>
                  </m:r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10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1,17</m:t>
                      </m:r>
                    </m:sup>
                  </m:sSup>
                </m:oMath>
              </a14:m>
              <a:r>
                <a:rPr lang="es-AR" sz="1200"/>
                <a:t>+</a:t>
              </a:r>
              <a14:m>
                <m:oMath xmlns:m="http://schemas.openxmlformats.org/officeDocument/2006/math"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10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0,17</m:t>
                      </m:r>
                    </m:sup>
                  </m:sSup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f>
                    <m:f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110</m:t>
                      </m:r>
                    </m:num>
                    <m:den>
                      <m:sSup>
                        <m:sSup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s-A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s-A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1,10</m:t>
                              </m:r>
                            </m:e>
                          </m:d>
                        </m:e>
                        <m:sup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0,83</m:t>
                          </m:r>
                        </m:sup>
                      </m:sSup>
                    </m:den>
                  </m:f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=100</m:t>
                  </m:r>
                  <m:sSup>
                    <m:sSupPr>
                      <m:ctrlP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s-A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1,10</m:t>
                          </m:r>
                        </m:e>
                      </m:d>
                    </m:e>
                    <m:sup>
                      <m:r>
                        <a:rPr lang="es-AR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4,17</m:t>
                      </m:r>
                    </m:sup>
                  </m:sSup>
                  <m:r>
                    <a:rPr lang="es-AR" sz="12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=148,8</m:t>
                  </m:r>
                </m:oMath>
              </a14:m>
              <a:endParaRPr lang="es-AR" sz="12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471612" y="6862762"/>
              <a:ext cx="6030690" cy="281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200" b="0" i="0">
                  <a:latin typeface="Cambria Math" panose="02040503050406030204" pitchFamily="18" charset="0"/>
                </a:rPr>
                <a:t>10(1,10)^3,17+10(1,10)^2,17+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(1,10)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1,17</a:t>
              </a:r>
              <a:r>
                <a:rPr lang="es-AR" sz="1200"/>
                <a:t>+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(1,10)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s-A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0,17+110/(1,10)^0,83 =100(1,10)^4,17=148,8</a:t>
              </a:r>
              <a:endParaRPr lang="es-AR" sz="1200"/>
            </a:p>
          </xdr:txBody>
        </xdr:sp>
      </mc:Fallback>
    </mc:AlternateContent>
    <xdr:clientData/>
  </xdr:oneCellAnchor>
  <xdr:twoCellAnchor>
    <xdr:from>
      <xdr:col>1</xdr:col>
      <xdr:colOff>676275</xdr:colOff>
      <xdr:row>28</xdr:row>
      <xdr:rowOff>171450</xdr:rowOff>
    </xdr:from>
    <xdr:to>
      <xdr:col>4</xdr:col>
      <xdr:colOff>523875</xdr:colOff>
      <xdr:row>30</xdr:row>
      <xdr:rowOff>167156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4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438275" y="5553075"/>
              <a:ext cx="1933575" cy="37670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𝑑𝑃</m:t>
                        </m:r>
                      </m:num>
                      <m:den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den>
                    </m:f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d>
                          <m:d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𝑇𝐼𝑅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𝑑𝑇𝐼𝑅</m:t>
                        </m:r>
                      </m:e>
                    </m:d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4" name="CuadroTexto 4"/>
            <xdr:cNvSpPr txBox="1"/>
          </xdr:nvSpPr>
          <xdr:spPr>
            <a:xfrm>
              <a:off x="1438275" y="5553075"/>
              <a:ext cx="1933575" cy="37670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𝑑𝑃/𝑃</a:t>
              </a:r>
              <a:r>
                <a:rPr lang="es-AR" sz="1200" i="0">
                  <a:latin typeface="Cambria Math" panose="02040503050406030204" pitchFamily="18" charset="0"/>
                </a:rPr>
                <a:t>=(</a:t>
              </a:r>
              <a:r>
                <a:rPr lang="es-AR" sz="1200" b="0" i="0">
                  <a:latin typeface="Cambria Math" panose="02040503050406030204" pitchFamily="18" charset="0"/>
                </a:rPr>
                <a:t>−1)  𝐷/((</a:t>
              </a:r>
              <a:r>
                <a:rPr lang="es-AR" sz="1200" i="0">
                  <a:latin typeface="Cambria Math" panose="02040503050406030204" pitchFamily="18" charset="0"/>
                </a:rPr>
                <a:t>1+𝑇𝐼𝑅) ) (</a:t>
              </a:r>
              <a:r>
                <a:rPr lang="es-AR" sz="1200" b="0" i="0">
                  <a:latin typeface="Cambria Math" panose="02040503050406030204" pitchFamily="18" charset="0"/>
                </a:rPr>
                <a:t>𝑑𝑇𝐼𝑅)</a:t>
              </a:r>
              <a:endParaRPr lang="es-AR" sz="1200"/>
            </a:p>
          </xdr:txBody>
        </xdr:sp>
      </mc:Fallback>
    </mc:AlternateContent>
    <xdr:clientData/>
  </xdr:twoCellAnchor>
  <xdr:twoCellAnchor>
    <xdr:from>
      <xdr:col>7</xdr:col>
      <xdr:colOff>619124</xdr:colOff>
      <xdr:row>28</xdr:row>
      <xdr:rowOff>180975</xdr:rowOff>
    </xdr:from>
    <xdr:to>
      <xdr:col>10</xdr:col>
      <xdr:colOff>426330</xdr:colOff>
      <xdr:row>30</xdr:row>
      <xdr:rowOff>171808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7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6438899" y="5943600"/>
              <a:ext cx="2121781" cy="37183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200" b="0" i="1">
                        <a:latin typeface="Cambria Math" panose="02040503050406030204" pitchFamily="18" charset="0"/>
                      </a:rPr>
                      <m:t>𝑑𝑃</m:t>
                    </m:r>
                    <m:r>
                      <a:rPr lang="es-AR" sz="120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f>
                      <m:f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d>
                          <m:dPr>
                            <m:ctrlPr>
                              <a:rPr lang="es-AR" sz="12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s-AR" sz="1200" i="1">
                                <a:latin typeface="Cambria Math" panose="02040503050406030204" pitchFamily="18" charset="0"/>
                              </a:rPr>
                              <m:t>𝑇𝐼𝑅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s-AR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200" b="0" i="1">
                            <a:latin typeface="Cambria Math" panose="02040503050406030204" pitchFamily="18" charset="0"/>
                          </a:rPr>
                          <m:t>𝑑𝑇𝐼𝑅</m:t>
                        </m:r>
                      </m:e>
                    </m:d>
                    <m:r>
                      <a:rPr lang="es-AR" sz="1200" b="0" i="1">
                        <a:latin typeface="Cambria Math" panose="02040503050406030204" pitchFamily="18" charset="0"/>
                      </a:rPr>
                      <m:t>𝑃</m:t>
                    </m:r>
                  </m:oMath>
                </m:oMathPara>
              </a14:m>
              <a:endParaRPr lang="es-AR" sz="1200"/>
            </a:p>
          </xdr:txBody>
        </xdr:sp>
      </mc:Choice>
      <mc:Fallback xmlns="">
        <xdr:sp macro="" textlink="">
          <xdr:nvSpPr>
            <xdr:cNvPr id="5" name="CuadroTexto 7"/>
            <xdr:cNvSpPr txBox="1"/>
          </xdr:nvSpPr>
          <xdr:spPr>
            <a:xfrm>
              <a:off x="6438899" y="5943600"/>
              <a:ext cx="2121781" cy="37183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A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AR" sz="1200" b="0" i="0">
                  <a:latin typeface="Cambria Math" panose="02040503050406030204" pitchFamily="18" charset="0"/>
                </a:rPr>
                <a:t>𝑑𝑃</a:t>
              </a:r>
              <a:r>
                <a:rPr lang="es-AR" sz="1200" i="0">
                  <a:latin typeface="Cambria Math" panose="02040503050406030204" pitchFamily="18" charset="0"/>
                </a:rPr>
                <a:t>=(</a:t>
              </a:r>
              <a:r>
                <a:rPr lang="es-AR" sz="1200" b="0" i="0">
                  <a:latin typeface="Cambria Math" panose="02040503050406030204" pitchFamily="18" charset="0"/>
                </a:rPr>
                <a:t>−1)  𝐷/((</a:t>
              </a:r>
              <a:r>
                <a:rPr lang="es-AR" sz="1200" i="0">
                  <a:latin typeface="Cambria Math" panose="02040503050406030204" pitchFamily="18" charset="0"/>
                </a:rPr>
                <a:t>1+𝑇𝐼𝑅) ) (</a:t>
              </a:r>
              <a:r>
                <a:rPr lang="es-AR" sz="1200" b="0" i="0">
                  <a:latin typeface="Cambria Math" panose="02040503050406030204" pitchFamily="18" charset="0"/>
                </a:rPr>
                <a:t>𝑑𝑇𝐼𝑅)𝑃</a:t>
              </a:r>
              <a:endParaRPr lang="es-AR" sz="1200"/>
            </a:p>
          </xdr:txBody>
        </xdr:sp>
      </mc:Fallback>
    </mc:AlternateContent>
    <xdr:clientData/>
  </xdr:twoCellAnchor>
  <xdr:twoCellAnchor>
    <xdr:from>
      <xdr:col>28</xdr:col>
      <xdr:colOff>295275</xdr:colOff>
      <xdr:row>9</xdr:row>
      <xdr:rowOff>33337</xdr:rowOff>
    </xdr:from>
    <xdr:to>
      <xdr:col>34</xdr:col>
      <xdr:colOff>295275</xdr:colOff>
      <xdr:row>21</xdr:row>
      <xdr:rowOff>109537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552450</xdr:colOff>
      <xdr:row>8</xdr:row>
      <xdr:rowOff>23812</xdr:rowOff>
    </xdr:from>
    <xdr:to>
      <xdr:col>21</xdr:col>
      <xdr:colOff>666750</xdr:colOff>
      <xdr:row>20</xdr:row>
      <xdr:rowOff>100012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327660</xdr:colOff>
          <xdr:row>5</xdr:row>
          <xdr:rowOff>83820</xdr:rowOff>
        </xdr:from>
        <xdr:to>
          <xdr:col>14</xdr:col>
          <xdr:colOff>693420</xdr:colOff>
          <xdr:row>7</xdr:row>
          <xdr:rowOff>121920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E50"/>
  <sheetViews>
    <sheetView topLeftCell="A4" zoomScale="130" zoomScaleNormal="130" workbookViewId="0">
      <selection activeCell="C16" sqref="C16:E18"/>
    </sheetView>
  </sheetViews>
  <sheetFormatPr defaultColWidth="11.44140625" defaultRowHeight="14.4" x14ac:dyDescent="0.3"/>
  <cols>
    <col min="1" max="1" width="11.44140625" style="2"/>
    <col min="2" max="2" width="14.44140625" style="2" customWidth="1"/>
    <col min="3" max="16384" width="11.44140625" style="2"/>
  </cols>
  <sheetData>
    <row r="3" spans="2:5" ht="18" x14ac:dyDescent="0.35">
      <c r="B3" s="1" t="s">
        <v>19</v>
      </c>
    </row>
    <row r="4" spans="2:5" ht="18" x14ac:dyDescent="0.35">
      <c r="B4" s="1"/>
    </row>
    <row r="5" spans="2:5" x14ac:dyDescent="0.3">
      <c r="B5" s="2" t="s">
        <v>32</v>
      </c>
    </row>
    <row r="7" spans="2:5" x14ac:dyDescent="0.3">
      <c r="B7" s="16"/>
      <c r="C7" s="15" t="s">
        <v>22</v>
      </c>
      <c r="D7" s="15" t="s">
        <v>23</v>
      </c>
      <c r="E7" s="15" t="s">
        <v>24</v>
      </c>
    </row>
    <row r="8" spans="2:5" x14ac:dyDescent="0.3">
      <c r="B8" s="13" t="s">
        <v>20</v>
      </c>
      <c r="C8" s="2">
        <v>100</v>
      </c>
      <c r="D8" s="2">
        <v>100</v>
      </c>
      <c r="E8" s="2">
        <v>100</v>
      </c>
    </row>
    <row r="9" spans="2:5" x14ac:dyDescent="0.3">
      <c r="B9" s="13" t="s">
        <v>21</v>
      </c>
      <c r="C9" s="3">
        <v>0.1</v>
      </c>
      <c r="D9" s="3">
        <v>0.1</v>
      </c>
      <c r="E9" s="3">
        <v>0.1</v>
      </c>
    </row>
    <row r="10" spans="2:5" x14ac:dyDescent="0.3">
      <c r="B10" s="13" t="s">
        <v>12</v>
      </c>
      <c r="C10" s="3">
        <v>0.1</v>
      </c>
      <c r="D10" s="3">
        <v>0.1</v>
      </c>
      <c r="E10" s="3">
        <v>0.1</v>
      </c>
    </row>
    <row r="11" spans="2:5" x14ac:dyDescent="0.3">
      <c r="B11" s="13" t="s">
        <v>27</v>
      </c>
      <c r="C11" s="12">
        <v>1</v>
      </c>
      <c r="D11" s="12">
        <v>10</v>
      </c>
      <c r="E11" s="12">
        <v>25</v>
      </c>
    </row>
    <row r="13" spans="2:5" x14ac:dyDescent="0.3">
      <c r="B13" s="2" t="s">
        <v>30</v>
      </c>
    </row>
    <row r="15" spans="2:5" x14ac:dyDescent="0.3">
      <c r="B15" s="13" t="s">
        <v>28</v>
      </c>
      <c r="C15" s="15" t="s">
        <v>22</v>
      </c>
      <c r="D15" s="15" t="s">
        <v>23</v>
      </c>
      <c r="E15" s="15" t="s">
        <v>24</v>
      </c>
    </row>
    <row r="16" spans="2:5" x14ac:dyDescent="0.3">
      <c r="B16" s="14">
        <v>0.1</v>
      </c>
      <c r="C16" s="18"/>
      <c r="D16" s="18"/>
      <c r="E16" s="18"/>
    </row>
    <row r="17" spans="2:5" x14ac:dyDescent="0.3">
      <c r="B17" s="14">
        <v>0.11</v>
      </c>
      <c r="C17" s="18"/>
      <c r="D17" s="18"/>
      <c r="E17" s="18"/>
    </row>
    <row r="18" spans="2:5" x14ac:dyDescent="0.3">
      <c r="B18" s="15" t="s">
        <v>29</v>
      </c>
      <c r="C18" s="19"/>
      <c r="D18" s="19"/>
      <c r="E18" s="19"/>
    </row>
    <row r="21" spans="2:5" x14ac:dyDescent="0.3">
      <c r="B21" s="2" t="s">
        <v>26</v>
      </c>
    </row>
    <row r="23" spans="2:5" x14ac:dyDescent="0.3">
      <c r="B23" s="17" t="s">
        <v>25</v>
      </c>
      <c r="C23" s="15" t="s">
        <v>22</v>
      </c>
      <c r="D23" s="15" t="s">
        <v>23</v>
      </c>
      <c r="E23" s="15" t="s">
        <v>24</v>
      </c>
    </row>
    <row r="24" spans="2:5" x14ac:dyDescent="0.3">
      <c r="B24" s="10"/>
    </row>
    <row r="25" spans="2:5" x14ac:dyDescent="0.3">
      <c r="B25" s="10">
        <v>0</v>
      </c>
    </row>
    <row r="26" spans="2:5" x14ac:dyDescent="0.3">
      <c r="B26" s="10">
        <v>1</v>
      </c>
      <c r="C26" s="2">
        <f>$C$8*$C$9+C8</f>
        <v>110</v>
      </c>
      <c r="D26" s="2">
        <f t="shared" ref="D26:D34" si="0">$D$8*$D$9</f>
        <v>10</v>
      </c>
      <c r="E26" s="2">
        <f t="shared" ref="E26:E49" si="1">$E$8*$E$9</f>
        <v>10</v>
      </c>
    </row>
    <row r="27" spans="2:5" x14ac:dyDescent="0.3">
      <c r="B27" s="10">
        <v>2</v>
      </c>
      <c r="D27" s="2">
        <f t="shared" si="0"/>
        <v>10</v>
      </c>
      <c r="E27" s="2">
        <f t="shared" si="1"/>
        <v>10</v>
      </c>
    </row>
    <row r="28" spans="2:5" x14ac:dyDescent="0.3">
      <c r="B28" s="10">
        <v>3</v>
      </c>
      <c r="D28" s="2">
        <f t="shared" si="0"/>
        <v>10</v>
      </c>
      <c r="E28" s="2">
        <f t="shared" si="1"/>
        <v>10</v>
      </c>
    </row>
    <row r="29" spans="2:5" x14ac:dyDescent="0.3">
      <c r="B29" s="10">
        <v>4</v>
      </c>
      <c r="D29" s="2">
        <f t="shared" si="0"/>
        <v>10</v>
      </c>
      <c r="E29" s="2">
        <f t="shared" si="1"/>
        <v>10</v>
      </c>
    </row>
    <row r="30" spans="2:5" x14ac:dyDescent="0.3">
      <c r="B30" s="10">
        <v>5</v>
      </c>
      <c r="D30" s="2">
        <f t="shared" si="0"/>
        <v>10</v>
      </c>
      <c r="E30" s="2">
        <f t="shared" si="1"/>
        <v>10</v>
      </c>
    </row>
    <row r="31" spans="2:5" x14ac:dyDescent="0.3">
      <c r="B31" s="10">
        <v>6</v>
      </c>
      <c r="D31" s="2">
        <f t="shared" si="0"/>
        <v>10</v>
      </c>
      <c r="E31" s="2">
        <f t="shared" si="1"/>
        <v>10</v>
      </c>
    </row>
    <row r="32" spans="2:5" x14ac:dyDescent="0.3">
      <c r="B32" s="10">
        <v>7</v>
      </c>
      <c r="D32" s="2">
        <f t="shared" si="0"/>
        <v>10</v>
      </c>
      <c r="E32" s="2">
        <f t="shared" si="1"/>
        <v>10</v>
      </c>
    </row>
    <row r="33" spans="2:5" x14ac:dyDescent="0.3">
      <c r="B33" s="10">
        <v>8</v>
      </c>
      <c r="D33" s="2">
        <f t="shared" si="0"/>
        <v>10</v>
      </c>
      <c r="E33" s="2">
        <f t="shared" si="1"/>
        <v>10</v>
      </c>
    </row>
    <row r="34" spans="2:5" x14ac:dyDescent="0.3">
      <c r="B34" s="10">
        <v>9</v>
      </c>
      <c r="D34" s="2">
        <f t="shared" si="0"/>
        <v>10</v>
      </c>
      <c r="E34" s="2">
        <f t="shared" si="1"/>
        <v>10</v>
      </c>
    </row>
    <row r="35" spans="2:5" x14ac:dyDescent="0.3">
      <c r="B35" s="10">
        <v>10</v>
      </c>
      <c r="D35" s="2">
        <f>$D$8*$D$9+D8</f>
        <v>110</v>
      </c>
      <c r="E35" s="2">
        <f t="shared" si="1"/>
        <v>10</v>
      </c>
    </row>
    <row r="36" spans="2:5" x14ac:dyDescent="0.3">
      <c r="B36" s="10">
        <v>11</v>
      </c>
      <c r="E36" s="2">
        <f t="shared" si="1"/>
        <v>10</v>
      </c>
    </row>
    <row r="37" spans="2:5" x14ac:dyDescent="0.3">
      <c r="B37" s="10">
        <v>12</v>
      </c>
      <c r="E37" s="2">
        <f t="shared" si="1"/>
        <v>10</v>
      </c>
    </row>
    <row r="38" spans="2:5" x14ac:dyDescent="0.3">
      <c r="B38" s="10">
        <v>13</v>
      </c>
      <c r="E38" s="2">
        <f t="shared" si="1"/>
        <v>10</v>
      </c>
    </row>
    <row r="39" spans="2:5" x14ac:dyDescent="0.3">
      <c r="B39" s="10">
        <v>14</v>
      </c>
      <c r="E39" s="2">
        <f t="shared" si="1"/>
        <v>10</v>
      </c>
    </row>
    <row r="40" spans="2:5" x14ac:dyDescent="0.3">
      <c r="B40" s="10">
        <v>15</v>
      </c>
      <c r="E40" s="2">
        <f t="shared" si="1"/>
        <v>10</v>
      </c>
    </row>
    <row r="41" spans="2:5" x14ac:dyDescent="0.3">
      <c r="B41" s="10">
        <v>16</v>
      </c>
      <c r="E41" s="2">
        <f t="shared" si="1"/>
        <v>10</v>
      </c>
    </row>
    <row r="42" spans="2:5" x14ac:dyDescent="0.3">
      <c r="B42" s="10">
        <v>17</v>
      </c>
      <c r="E42" s="2">
        <f t="shared" si="1"/>
        <v>10</v>
      </c>
    </row>
    <row r="43" spans="2:5" x14ac:dyDescent="0.3">
      <c r="B43" s="10">
        <v>18</v>
      </c>
      <c r="E43" s="2">
        <f t="shared" si="1"/>
        <v>10</v>
      </c>
    </row>
    <row r="44" spans="2:5" x14ac:dyDescent="0.3">
      <c r="B44" s="10">
        <v>19</v>
      </c>
      <c r="E44" s="2">
        <f t="shared" si="1"/>
        <v>10</v>
      </c>
    </row>
    <row r="45" spans="2:5" x14ac:dyDescent="0.3">
      <c r="B45" s="10">
        <v>20</v>
      </c>
      <c r="E45" s="2">
        <f t="shared" si="1"/>
        <v>10</v>
      </c>
    </row>
    <row r="46" spans="2:5" x14ac:dyDescent="0.3">
      <c r="B46" s="10">
        <v>21</v>
      </c>
      <c r="E46" s="2">
        <f t="shared" si="1"/>
        <v>10</v>
      </c>
    </row>
    <row r="47" spans="2:5" x14ac:dyDescent="0.3">
      <c r="B47" s="10">
        <v>22</v>
      </c>
      <c r="E47" s="2">
        <f t="shared" si="1"/>
        <v>10</v>
      </c>
    </row>
    <row r="48" spans="2:5" x14ac:dyDescent="0.3">
      <c r="B48" s="10">
        <v>23</v>
      </c>
      <c r="E48" s="2">
        <f t="shared" si="1"/>
        <v>10</v>
      </c>
    </row>
    <row r="49" spans="2:5" x14ac:dyDescent="0.3">
      <c r="B49" s="10">
        <v>24</v>
      </c>
      <c r="E49" s="2">
        <f t="shared" si="1"/>
        <v>10</v>
      </c>
    </row>
    <row r="50" spans="2:5" x14ac:dyDescent="0.3">
      <c r="B50" s="10">
        <v>25</v>
      </c>
      <c r="E50" s="2">
        <f>$E$8*$E$9+E8</f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3:K50"/>
  <sheetViews>
    <sheetView workbookViewId="0">
      <selection activeCell="C16" sqref="C16:E18"/>
    </sheetView>
  </sheetViews>
  <sheetFormatPr defaultColWidth="11.44140625" defaultRowHeight="14.4" x14ac:dyDescent="0.3"/>
  <cols>
    <col min="1" max="1" width="11.44140625" style="2"/>
    <col min="2" max="2" width="14.44140625" style="2" customWidth="1"/>
    <col min="3" max="16384" width="11.44140625" style="2"/>
  </cols>
  <sheetData>
    <row r="3" spans="2:11" ht="18" x14ac:dyDescent="0.35">
      <c r="B3" s="1" t="s">
        <v>19</v>
      </c>
    </row>
    <row r="4" spans="2:11" ht="18" x14ac:dyDescent="0.35">
      <c r="B4" s="1"/>
    </row>
    <row r="5" spans="2:11" x14ac:dyDescent="0.3">
      <c r="B5" s="2" t="s">
        <v>33</v>
      </c>
    </row>
    <row r="6" spans="2:11" x14ac:dyDescent="0.3">
      <c r="B6" s="2" t="s">
        <v>34</v>
      </c>
    </row>
    <row r="7" spans="2:11" x14ac:dyDescent="0.3">
      <c r="B7" s="16"/>
      <c r="C7" s="15" t="s">
        <v>22</v>
      </c>
      <c r="D7" s="15" t="s">
        <v>23</v>
      </c>
      <c r="E7" s="15" t="s">
        <v>24</v>
      </c>
    </row>
    <row r="8" spans="2:11" x14ac:dyDescent="0.3">
      <c r="B8" s="13" t="s">
        <v>20</v>
      </c>
      <c r="C8" s="2">
        <v>100</v>
      </c>
      <c r="D8" s="2">
        <v>100</v>
      </c>
      <c r="E8" s="2">
        <v>100</v>
      </c>
    </row>
    <row r="9" spans="2:11" x14ac:dyDescent="0.3">
      <c r="B9" s="13" t="s">
        <v>21</v>
      </c>
      <c r="C9" s="3">
        <v>0</v>
      </c>
      <c r="D9" s="3">
        <v>0</v>
      </c>
      <c r="E9" s="3">
        <v>0</v>
      </c>
    </row>
    <row r="10" spans="2:11" x14ac:dyDescent="0.3">
      <c r="B10" s="13" t="s">
        <v>12</v>
      </c>
      <c r="C10" s="3">
        <v>0.1</v>
      </c>
      <c r="D10" s="3">
        <v>0.1</v>
      </c>
      <c r="E10" s="3">
        <v>0.1</v>
      </c>
    </row>
    <row r="11" spans="2:11" x14ac:dyDescent="0.3">
      <c r="B11" s="13" t="s">
        <v>27</v>
      </c>
      <c r="C11" s="12">
        <v>1</v>
      </c>
      <c r="D11" s="12">
        <v>10</v>
      </c>
      <c r="E11" s="12">
        <v>25</v>
      </c>
    </row>
    <row r="13" spans="2:11" x14ac:dyDescent="0.3">
      <c r="B13" s="2" t="s">
        <v>30</v>
      </c>
      <c r="H13" s="2" t="s">
        <v>31</v>
      </c>
    </row>
    <row r="15" spans="2:11" x14ac:dyDescent="0.3">
      <c r="B15" s="13" t="s">
        <v>28</v>
      </c>
      <c r="C15" s="15" t="s">
        <v>22</v>
      </c>
      <c r="D15" s="15" t="s">
        <v>23</v>
      </c>
      <c r="E15" s="15" t="s">
        <v>24</v>
      </c>
      <c r="H15" s="13" t="s">
        <v>28</v>
      </c>
      <c r="I15" s="15" t="s">
        <v>22</v>
      </c>
      <c r="J15" s="15" t="s">
        <v>23</v>
      </c>
      <c r="K15" s="15" t="s">
        <v>24</v>
      </c>
    </row>
    <row r="16" spans="2:11" x14ac:dyDescent="0.3">
      <c r="B16" s="14">
        <v>0.1</v>
      </c>
      <c r="C16" s="18"/>
      <c r="D16" s="18"/>
      <c r="E16" s="18"/>
      <c r="H16" s="14">
        <v>0.1</v>
      </c>
      <c r="I16" s="18">
        <v>99.999999999999986</v>
      </c>
      <c r="J16" s="18">
        <v>99.999999999999943</v>
      </c>
      <c r="K16" s="18">
        <v>99.999999999999957</v>
      </c>
    </row>
    <row r="17" spans="2:11" x14ac:dyDescent="0.3">
      <c r="B17" s="14">
        <v>0.11</v>
      </c>
      <c r="C17" s="18"/>
      <c r="D17" s="18"/>
      <c r="E17" s="18"/>
      <c r="H17" s="14">
        <v>0.11</v>
      </c>
      <c r="I17" s="18">
        <v>99.099099099099092</v>
      </c>
      <c r="J17" s="18">
        <v>94.11076798885874</v>
      </c>
      <c r="K17" s="18">
        <v>91.578255335332997</v>
      </c>
    </row>
    <row r="18" spans="2:11" x14ac:dyDescent="0.3">
      <c r="B18" s="15" t="s">
        <v>29</v>
      </c>
      <c r="C18" s="19"/>
      <c r="D18" s="19"/>
      <c r="E18" s="19"/>
      <c r="H18" s="15" t="s">
        <v>29</v>
      </c>
      <c r="I18" s="19">
        <v>-9.0090090090089361E-3</v>
      </c>
      <c r="J18" s="19">
        <v>-5.8892320111412065E-2</v>
      </c>
      <c r="K18" s="19">
        <v>-8.4217446646669636E-2</v>
      </c>
    </row>
    <row r="21" spans="2:11" x14ac:dyDescent="0.3">
      <c r="B21" s="2" t="s">
        <v>26</v>
      </c>
    </row>
    <row r="23" spans="2:11" x14ac:dyDescent="0.3">
      <c r="B23" s="17" t="s">
        <v>25</v>
      </c>
      <c r="C23" s="15" t="s">
        <v>22</v>
      </c>
      <c r="D23" s="15" t="s">
        <v>23</v>
      </c>
      <c r="E23" s="15" t="s">
        <v>24</v>
      </c>
    </row>
    <row r="24" spans="2:11" x14ac:dyDescent="0.3">
      <c r="B24" s="10"/>
    </row>
    <row r="25" spans="2:11" x14ac:dyDescent="0.3">
      <c r="B25" s="10">
        <v>0</v>
      </c>
    </row>
    <row r="26" spans="2:11" x14ac:dyDescent="0.3">
      <c r="B26" s="10">
        <v>1</v>
      </c>
      <c r="C26" s="2">
        <f>$C$8*$C$9+C8</f>
        <v>100</v>
      </c>
      <c r="D26" s="2">
        <f>$D$8*$D$9</f>
        <v>0</v>
      </c>
      <c r="E26" s="2">
        <f>$E$8*$E$9</f>
        <v>0</v>
      </c>
    </row>
    <row r="27" spans="2:11" x14ac:dyDescent="0.3">
      <c r="B27" s="10">
        <v>2</v>
      </c>
      <c r="D27" s="2">
        <f t="shared" ref="D27:D34" si="0">$D$8*$D$9</f>
        <v>0</v>
      </c>
      <c r="E27" s="2">
        <f t="shared" ref="E27:E49" si="1">$E$8*$E$9</f>
        <v>0</v>
      </c>
    </row>
    <row r="28" spans="2:11" x14ac:dyDescent="0.3">
      <c r="B28" s="10">
        <v>3</v>
      </c>
      <c r="D28" s="2">
        <f t="shared" si="0"/>
        <v>0</v>
      </c>
      <c r="E28" s="2">
        <f t="shared" si="1"/>
        <v>0</v>
      </c>
    </row>
    <row r="29" spans="2:11" x14ac:dyDescent="0.3">
      <c r="B29" s="10">
        <v>4</v>
      </c>
      <c r="D29" s="2">
        <f t="shared" si="0"/>
        <v>0</v>
      </c>
      <c r="E29" s="2">
        <f t="shared" si="1"/>
        <v>0</v>
      </c>
    </row>
    <row r="30" spans="2:11" x14ac:dyDescent="0.3">
      <c r="B30" s="10">
        <v>5</v>
      </c>
      <c r="D30" s="2">
        <f t="shared" si="0"/>
        <v>0</v>
      </c>
      <c r="E30" s="2">
        <f t="shared" si="1"/>
        <v>0</v>
      </c>
    </row>
    <row r="31" spans="2:11" x14ac:dyDescent="0.3">
      <c r="B31" s="10">
        <v>6</v>
      </c>
      <c r="D31" s="2">
        <f t="shared" si="0"/>
        <v>0</v>
      </c>
      <c r="E31" s="2">
        <f t="shared" si="1"/>
        <v>0</v>
      </c>
    </row>
    <row r="32" spans="2:11" x14ac:dyDescent="0.3">
      <c r="B32" s="10">
        <v>7</v>
      </c>
      <c r="D32" s="2">
        <f t="shared" si="0"/>
        <v>0</v>
      </c>
      <c r="E32" s="2">
        <f t="shared" si="1"/>
        <v>0</v>
      </c>
    </row>
    <row r="33" spans="2:5" x14ac:dyDescent="0.3">
      <c r="B33" s="10">
        <v>8</v>
      </c>
      <c r="D33" s="2">
        <f t="shared" si="0"/>
        <v>0</v>
      </c>
      <c r="E33" s="2">
        <f t="shared" si="1"/>
        <v>0</v>
      </c>
    </row>
    <row r="34" spans="2:5" x14ac:dyDescent="0.3">
      <c r="B34" s="10">
        <v>9</v>
      </c>
      <c r="D34" s="2">
        <f t="shared" si="0"/>
        <v>0</v>
      </c>
      <c r="E34" s="2">
        <f t="shared" si="1"/>
        <v>0</v>
      </c>
    </row>
    <row r="35" spans="2:5" x14ac:dyDescent="0.3">
      <c r="B35" s="10">
        <v>10</v>
      </c>
      <c r="D35" s="2">
        <f>$D$8*$D$9+D8</f>
        <v>100</v>
      </c>
      <c r="E35" s="2">
        <f t="shared" si="1"/>
        <v>0</v>
      </c>
    </row>
    <row r="36" spans="2:5" x14ac:dyDescent="0.3">
      <c r="B36" s="10">
        <v>11</v>
      </c>
      <c r="E36" s="2">
        <f t="shared" si="1"/>
        <v>0</v>
      </c>
    </row>
    <row r="37" spans="2:5" x14ac:dyDescent="0.3">
      <c r="B37" s="10">
        <v>12</v>
      </c>
      <c r="E37" s="2">
        <f t="shared" si="1"/>
        <v>0</v>
      </c>
    </row>
    <row r="38" spans="2:5" x14ac:dyDescent="0.3">
      <c r="B38" s="10">
        <v>13</v>
      </c>
      <c r="E38" s="2">
        <f t="shared" si="1"/>
        <v>0</v>
      </c>
    </row>
    <row r="39" spans="2:5" x14ac:dyDescent="0.3">
      <c r="B39" s="10">
        <v>14</v>
      </c>
      <c r="E39" s="2">
        <f t="shared" si="1"/>
        <v>0</v>
      </c>
    </row>
    <row r="40" spans="2:5" x14ac:dyDescent="0.3">
      <c r="B40" s="10">
        <v>15</v>
      </c>
      <c r="E40" s="2">
        <f t="shared" si="1"/>
        <v>0</v>
      </c>
    </row>
    <row r="41" spans="2:5" x14ac:dyDescent="0.3">
      <c r="B41" s="10">
        <v>16</v>
      </c>
      <c r="E41" s="2">
        <f t="shared" si="1"/>
        <v>0</v>
      </c>
    </row>
    <row r="42" spans="2:5" x14ac:dyDescent="0.3">
      <c r="B42" s="10">
        <v>17</v>
      </c>
      <c r="E42" s="2">
        <f t="shared" si="1"/>
        <v>0</v>
      </c>
    </row>
    <row r="43" spans="2:5" x14ac:dyDescent="0.3">
      <c r="B43" s="10">
        <v>18</v>
      </c>
      <c r="E43" s="2">
        <f t="shared" si="1"/>
        <v>0</v>
      </c>
    </row>
    <row r="44" spans="2:5" x14ac:dyDescent="0.3">
      <c r="B44" s="10">
        <v>19</v>
      </c>
      <c r="E44" s="2">
        <f t="shared" si="1"/>
        <v>0</v>
      </c>
    </row>
    <row r="45" spans="2:5" x14ac:dyDescent="0.3">
      <c r="B45" s="10">
        <v>20</v>
      </c>
      <c r="E45" s="2">
        <f t="shared" si="1"/>
        <v>0</v>
      </c>
    </row>
    <row r="46" spans="2:5" x14ac:dyDescent="0.3">
      <c r="B46" s="10">
        <v>21</v>
      </c>
      <c r="E46" s="2">
        <f t="shared" si="1"/>
        <v>0</v>
      </c>
    </row>
    <row r="47" spans="2:5" x14ac:dyDescent="0.3">
      <c r="B47" s="10">
        <v>22</v>
      </c>
      <c r="E47" s="2">
        <f t="shared" si="1"/>
        <v>0</v>
      </c>
    </row>
    <row r="48" spans="2:5" x14ac:dyDescent="0.3">
      <c r="B48" s="10">
        <v>23</v>
      </c>
      <c r="E48" s="2">
        <f t="shared" si="1"/>
        <v>0</v>
      </c>
    </row>
    <row r="49" spans="2:5" x14ac:dyDescent="0.3">
      <c r="B49" s="10">
        <v>24</v>
      </c>
      <c r="E49" s="2">
        <f t="shared" si="1"/>
        <v>0</v>
      </c>
    </row>
    <row r="50" spans="2:5" x14ac:dyDescent="0.3">
      <c r="B50" s="10">
        <v>25</v>
      </c>
      <c r="E50" s="2">
        <f>$E$8*$E$9+E8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F51"/>
  <sheetViews>
    <sheetView topLeftCell="A4" workbookViewId="0">
      <selection activeCell="C17" sqref="C17:E19"/>
    </sheetView>
  </sheetViews>
  <sheetFormatPr defaultColWidth="11.44140625" defaultRowHeight="14.4" x14ac:dyDescent="0.3"/>
  <cols>
    <col min="1" max="1" width="11.44140625" style="2"/>
    <col min="2" max="2" width="14.44140625" style="2" customWidth="1"/>
    <col min="3" max="16384" width="11.44140625" style="2"/>
  </cols>
  <sheetData>
    <row r="3" spans="2:5" ht="18" x14ac:dyDescent="0.35">
      <c r="B3" s="1" t="s">
        <v>19</v>
      </c>
    </row>
    <row r="4" spans="2:5" ht="18" x14ac:dyDescent="0.35">
      <c r="B4" s="1"/>
    </row>
    <row r="5" spans="2:5" x14ac:dyDescent="0.3">
      <c r="B5" s="2" t="s">
        <v>36</v>
      </c>
    </row>
    <row r="7" spans="2:5" x14ac:dyDescent="0.3">
      <c r="B7" s="16"/>
      <c r="C7" s="15" t="s">
        <v>22</v>
      </c>
      <c r="D7" s="15" t="s">
        <v>23</v>
      </c>
      <c r="E7" s="11"/>
    </row>
    <row r="8" spans="2:5" x14ac:dyDescent="0.3">
      <c r="B8" s="13" t="s">
        <v>20</v>
      </c>
      <c r="C8" s="2">
        <v>100</v>
      </c>
      <c r="D8" s="2">
        <v>100</v>
      </c>
    </row>
    <row r="9" spans="2:5" x14ac:dyDescent="0.3">
      <c r="B9" s="13" t="s">
        <v>21</v>
      </c>
      <c r="C9" s="3">
        <v>0.1</v>
      </c>
      <c r="D9" s="3">
        <v>0.1</v>
      </c>
      <c r="E9" s="3"/>
    </row>
    <row r="10" spans="2:5" x14ac:dyDescent="0.3">
      <c r="B10" s="13" t="s">
        <v>35</v>
      </c>
      <c r="C10" s="12">
        <v>1</v>
      </c>
      <c r="D10" s="12">
        <v>2</v>
      </c>
      <c r="E10" s="6"/>
    </row>
    <row r="11" spans="2:5" x14ac:dyDescent="0.3">
      <c r="B11" s="13" t="s">
        <v>12</v>
      </c>
      <c r="C11" s="3">
        <v>0.1</v>
      </c>
      <c r="D11" s="3">
        <v>0.1</v>
      </c>
      <c r="E11" s="3"/>
    </row>
    <row r="12" spans="2:5" x14ac:dyDescent="0.3">
      <c r="B12" s="13" t="s">
        <v>27</v>
      </c>
      <c r="C12" s="12">
        <v>10</v>
      </c>
      <c r="D12" s="12">
        <v>10</v>
      </c>
      <c r="E12" s="12"/>
    </row>
    <row r="14" spans="2:5" x14ac:dyDescent="0.3">
      <c r="B14" s="2" t="s">
        <v>30</v>
      </c>
    </row>
    <row r="16" spans="2:5" x14ac:dyDescent="0.3">
      <c r="B16" s="13" t="s">
        <v>28</v>
      </c>
      <c r="C16" s="15" t="s">
        <v>22</v>
      </c>
      <c r="D16" s="15" t="s">
        <v>23</v>
      </c>
      <c r="E16" s="11"/>
    </row>
    <row r="17" spans="2:6" x14ac:dyDescent="0.3">
      <c r="B17" s="14">
        <v>0.1</v>
      </c>
      <c r="C17" s="18"/>
      <c r="D17" s="18"/>
      <c r="E17" s="18"/>
    </row>
    <row r="18" spans="2:6" x14ac:dyDescent="0.3">
      <c r="B18" s="14">
        <v>0.11</v>
      </c>
      <c r="C18" s="18"/>
      <c r="D18" s="18"/>
      <c r="E18" s="18"/>
      <c r="F18" s="18"/>
    </row>
    <row r="19" spans="2:6" x14ac:dyDescent="0.3">
      <c r="B19" s="15" t="s">
        <v>29</v>
      </c>
      <c r="C19" s="19"/>
      <c r="D19" s="19"/>
      <c r="E19" s="19"/>
    </row>
    <row r="22" spans="2:6" x14ac:dyDescent="0.3">
      <c r="B22" s="2" t="s">
        <v>26</v>
      </c>
    </row>
    <row r="24" spans="2:6" x14ac:dyDescent="0.3">
      <c r="B24" s="17" t="s">
        <v>25</v>
      </c>
      <c r="C24" s="15" t="s">
        <v>22</v>
      </c>
      <c r="D24" s="15" t="s">
        <v>23</v>
      </c>
      <c r="E24" s="11"/>
    </row>
    <row r="25" spans="2:6" x14ac:dyDescent="0.3">
      <c r="B25" s="10"/>
    </row>
    <row r="26" spans="2:6" x14ac:dyDescent="0.3">
      <c r="B26" s="10">
        <v>0</v>
      </c>
    </row>
    <row r="27" spans="2:6" x14ac:dyDescent="0.3">
      <c r="B27" s="10">
        <f>B26+0.5</f>
        <v>0.5</v>
      </c>
      <c r="D27" s="20">
        <f>$D$8*$D$9/$D$10</f>
        <v>5</v>
      </c>
    </row>
    <row r="28" spans="2:6" x14ac:dyDescent="0.3">
      <c r="B28" s="10">
        <f t="shared" ref="B28:B46" si="0">B27+0.5</f>
        <v>1</v>
      </c>
      <c r="C28" s="20">
        <f>$C$8*$C$9/$C$10</f>
        <v>10</v>
      </c>
      <c r="D28" s="20">
        <f t="shared" ref="D28:D45" si="1">$D$8*$D$9/$D$10</f>
        <v>5</v>
      </c>
    </row>
    <row r="29" spans="2:6" x14ac:dyDescent="0.3">
      <c r="B29" s="10">
        <f t="shared" si="0"/>
        <v>1.5</v>
      </c>
      <c r="D29" s="20">
        <f t="shared" si="1"/>
        <v>5</v>
      </c>
    </row>
    <row r="30" spans="2:6" x14ac:dyDescent="0.3">
      <c r="B30" s="10">
        <f t="shared" si="0"/>
        <v>2</v>
      </c>
      <c r="C30" s="20">
        <f>$C$8*$C$9/$C$10</f>
        <v>10</v>
      </c>
      <c r="D30" s="20">
        <f t="shared" si="1"/>
        <v>5</v>
      </c>
    </row>
    <row r="31" spans="2:6" x14ac:dyDescent="0.3">
      <c r="B31" s="10">
        <f t="shared" si="0"/>
        <v>2.5</v>
      </c>
      <c r="D31" s="20">
        <f t="shared" si="1"/>
        <v>5</v>
      </c>
    </row>
    <row r="32" spans="2:6" x14ac:dyDescent="0.3">
      <c r="B32" s="10">
        <f t="shared" si="0"/>
        <v>3</v>
      </c>
      <c r="C32" s="20">
        <f>$C$8*$C$9/$C$10</f>
        <v>10</v>
      </c>
      <c r="D32" s="20">
        <f t="shared" si="1"/>
        <v>5</v>
      </c>
    </row>
    <row r="33" spans="2:4" x14ac:dyDescent="0.3">
      <c r="B33" s="10">
        <f t="shared" si="0"/>
        <v>3.5</v>
      </c>
      <c r="D33" s="20">
        <f t="shared" si="1"/>
        <v>5</v>
      </c>
    </row>
    <row r="34" spans="2:4" x14ac:dyDescent="0.3">
      <c r="B34" s="10">
        <f t="shared" si="0"/>
        <v>4</v>
      </c>
      <c r="C34" s="20">
        <f>$C$8*$C$9/$C$10</f>
        <v>10</v>
      </c>
      <c r="D34" s="20">
        <f t="shared" si="1"/>
        <v>5</v>
      </c>
    </row>
    <row r="35" spans="2:4" x14ac:dyDescent="0.3">
      <c r="B35" s="10">
        <f t="shared" si="0"/>
        <v>4.5</v>
      </c>
      <c r="D35" s="20">
        <f t="shared" si="1"/>
        <v>5</v>
      </c>
    </row>
    <row r="36" spans="2:4" x14ac:dyDescent="0.3">
      <c r="B36" s="10">
        <f t="shared" si="0"/>
        <v>5</v>
      </c>
      <c r="C36" s="20">
        <f>$C$8*$C$9/$C$10</f>
        <v>10</v>
      </c>
      <c r="D36" s="20">
        <f t="shared" si="1"/>
        <v>5</v>
      </c>
    </row>
    <row r="37" spans="2:4" x14ac:dyDescent="0.3">
      <c r="B37" s="10">
        <f t="shared" si="0"/>
        <v>5.5</v>
      </c>
      <c r="D37" s="20">
        <f t="shared" si="1"/>
        <v>5</v>
      </c>
    </row>
    <row r="38" spans="2:4" x14ac:dyDescent="0.3">
      <c r="B38" s="10">
        <f t="shared" si="0"/>
        <v>6</v>
      </c>
      <c r="C38" s="20">
        <f>$C$8*$C$9/$C$10</f>
        <v>10</v>
      </c>
      <c r="D38" s="20">
        <f t="shared" si="1"/>
        <v>5</v>
      </c>
    </row>
    <row r="39" spans="2:4" x14ac:dyDescent="0.3">
      <c r="B39" s="10">
        <f t="shared" si="0"/>
        <v>6.5</v>
      </c>
      <c r="D39" s="20">
        <f t="shared" si="1"/>
        <v>5</v>
      </c>
    </row>
    <row r="40" spans="2:4" x14ac:dyDescent="0.3">
      <c r="B40" s="10">
        <f t="shared" si="0"/>
        <v>7</v>
      </c>
      <c r="C40" s="20">
        <f>$C$8*$C$9/$C$10</f>
        <v>10</v>
      </c>
      <c r="D40" s="20">
        <f t="shared" si="1"/>
        <v>5</v>
      </c>
    </row>
    <row r="41" spans="2:4" x14ac:dyDescent="0.3">
      <c r="B41" s="10">
        <f t="shared" si="0"/>
        <v>7.5</v>
      </c>
      <c r="D41" s="20">
        <f t="shared" si="1"/>
        <v>5</v>
      </c>
    </row>
    <row r="42" spans="2:4" x14ac:dyDescent="0.3">
      <c r="B42" s="10">
        <f t="shared" si="0"/>
        <v>8</v>
      </c>
      <c r="C42" s="20">
        <f>$C$8*$C$9/$C$10</f>
        <v>10</v>
      </c>
      <c r="D42" s="20">
        <f t="shared" si="1"/>
        <v>5</v>
      </c>
    </row>
    <row r="43" spans="2:4" x14ac:dyDescent="0.3">
      <c r="B43" s="10">
        <f t="shared" si="0"/>
        <v>8.5</v>
      </c>
      <c r="D43" s="20">
        <f t="shared" si="1"/>
        <v>5</v>
      </c>
    </row>
    <row r="44" spans="2:4" x14ac:dyDescent="0.3">
      <c r="B44" s="10">
        <f t="shared" si="0"/>
        <v>9</v>
      </c>
      <c r="C44" s="20">
        <f>$C$8*$C$9/$C$10</f>
        <v>10</v>
      </c>
      <c r="D44" s="20">
        <f t="shared" si="1"/>
        <v>5</v>
      </c>
    </row>
    <row r="45" spans="2:4" x14ac:dyDescent="0.3">
      <c r="B45" s="10">
        <f t="shared" si="0"/>
        <v>9.5</v>
      </c>
      <c r="D45" s="20">
        <f t="shared" si="1"/>
        <v>5</v>
      </c>
    </row>
    <row r="46" spans="2:4" x14ac:dyDescent="0.3">
      <c r="B46" s="10">
        <f t="shared" si="0"/>
        <v>10</v>
      </c>
      <c r="C46" s="20">
        <f>$C$8*$C$9/$C$10+C8</f>
        <v>110</v>
      </c>
      <c r="D46" s="20">
        <f>$D$8*$D$9/$D$10+D8</f>
        <v>105</v>
      </c>
    </row>
    <row r="47" spans="2:4" x14ac:dyDescent="0.3">
      <c r="B47" s="10"/>
    </row>
    <row r="48" spans="2:4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B3:AB35"/>
  <sheetViews>
    <sheetView tabSelected="1" topLeftCell="A10" workbookViewId="0">
      <selection activeCell="L24" sqref="L24"/>
    </sheetView>
  </sheetViews>
  <sheetFormatPr defaultColWidth="11.44140625" defaultRowHeight="14.4" x14ac:dyDescent="0.3"/>
  <cols>
    <col min="1" max="2" width="11.44140625" style="2"/>
    <col min="3" max="3" width="7.33203125" style="2" customWidth="1"/>
    <col min="4" max="4" width="12.5546875" style="2" customWidth="1"/>
    <col min="5" max="5" width="12.33203125" style="2" bestFit="1" customWidth="1"/>
    <col min="6" max="6" width="9.109375" style="2" bestFit="1" customWidth="1"/>
    <col min="7" max="7" width="15.44140625" style="2" customWidth="1"/>
    <col min="8" max="8" width="10.5546875" style="2" bestFit="1" customWidth="1"/>
    <col min="9" max="9" width="12.6640625" style="2" bestFit="1" customWidth="1"/>
    <col min="10" max="12" width="11.44140625" style="2"/>
    <col min="13" max="13" width="12.6640625" style="2" bestFit="1" customWidth="1"/>
    <col min="14" max="24" width="11.44140625" style="2"/>
    <col min="25" max="28" width="11.44140625" style="6"/>
    <col min="29" max="16384" width="11.44140625" style="2"/>
  </cols>
  <sheetData>
    <row r="3" spans="2:28" ht="18" x14ac:dyDescent="0.35">
      <c r="B3" s="1" t="s">
        <v>19</v>
      </c>
    </row>
    <row r="4" spans="2:28" x14ac:dyDescent="0.3">
      <c r="N4" s="24">
        <v>20</v>
      </c>
    </row>
    <row r="5" spans="2:28" x14ac:dyDescent="0.3">
      <c r="B5" s="2" t="s">
        <v>0</v>
      </c>
      <c r="C5" s="2">
        <v>0.1</v>
      </c>
      <c r="H5" s="2" t="s">
        <v>12</v>
      </c>
      <c r="I5" s="3" t="e">
        <f>IRR(F11:F16)</f>
        <v>#NUM!</v>
      </c>
    </row>
    <row r="6" spans="2:28" x14ac:dyDescent="0.3">
      <c r="B6" s="2" t="s">
        <v>1</v>
      </c>
      <c r="C6" s="2">
        <v>100</v>
      </c>
    </row>
    <row r="7" spans="2:28" x14ac:dyDescent="0.3">
      <c r="B7" s="2" t="s">
        <v>27</v>
      </c>
      <c r="C7" s="2">
        <v>5</v>
      </c>
      <c r="H7" s="2" t="s">
        <v>40</v>
      </c>
      <c r="M7" s="2" t="s">
        <v>12</v>
      </c>
      <c r="N7" s="2">
        <f>0.005*N4</f>
        <v>0.1</v>
      </c>
    </row>
    <row r="8" spans="2:28" x14ac:dyDescent="0.3">
      <c r="B8" s="2" t="s">
        <v>38</v>
      </c>
      <c r="H8" s="2" t="s">
        <v>12</v>
      </c>
      <c r="I8" s="3" t="e">
        <f>RATE(5,F12,F11,E16)</f>
        <v>#NUM!</v>
      </c>
    </row>
    <row r="9" spans="2:28" x14ac:dyDescent="0.3">
      <c r="B9" s="2" t="s">
        <v>42</v>
      </c>
      <c r="C9" s="2">
        <v>100</v>
      </c>
    </row>
    <row r="10" spans="2:28" s="4" customFormat="1" ht="45" customHeight="1" x14ac:dyDescent="0.3">
      <c r="C10" s="22" t="s">
        <v>5</v>
      </c>
      <c r="D10" s="22" t="s">
        <v>2</v>
      </c>
      <c r="E10" s="22" t="s">
        <v>3</v>
      </c>
      <c r="F10" s="22" t="s">
        <v>4</v>
      </c>
      <c r="G10" s="22" t="s">
        <v>9</v>
      </c>
      <c r="H10" s="22" t="s">
        <v>10</v>
      </c>
      <c r="I10" s="22" t="s">
        <v>11</v>
      </c>
      <c r="J10" s="25" t="s">
        <v>41</v>
      </c>
      <c r="K10" s="25"/>
      <c r="M10" s="22" t="s">
        <v>6</v>
      </c>
      <c r="N10" s="22" t="s">
        <v>7</v>
      </c>
      <c r="O10" s="22" t="s">
        <v>8</v>
      </c>
      <c r="P10" s="5"/>
      <c r="Q10" s="5"/>
      <c r="R10" s="5"/>
      <c r="S10" s="5"/>
      <c r="T10" s="5"/>
      <c r="U10" s="5"/>
      <c r="Y10" s="23" t="s">
        <v>18</v>
      </c>
      <c r="Z10" s="22" t="s">
        <v>6</v>
      </c>
      <c r="AA10" s="22" t="s">
        <v>7</v>
      </c>
      <c r="AB10" s="22" t="s">
        <v>8</v>
      </c>
    </row>
    <row r="11" spans="2:28" x14ac:dyDescent="0.3">
      <c r="C11" s="2">
        <v>0</v>
      </c>
      <c r="J11" s="3"/>
      <c r="K11" s="3"/>
      <c r="Z11" s="6">
        <f>M20</f>
        <v>0</v>
      </c>
      <c r="AA11" s="6">
        <f>N20</f>
        <v>0</v>
      </c>
      <c r="AB11" s="6">
        <f>O20</f>
        <v>0</v>
      </c>
    </row>
    <row r="12" spans="2:28" x14ac:dyDescent="0.3">
      <c r="C12" s="2">
        <v>1</v>
      </c>
      <c r="G12" s="6"/>
      <c r="H12" s="7"/>
      <c r="I12" s="6"/>
      <c r="M12" s="6"/>
      <c r="N12" s="6"/>
      <c r="O12" s="6"/>
      <c r="Y12" s="6">
        <v>0.01</v>
      </c>
      <c r="Z12" s="6">
        <f t="dataTable" ref="Z12:AB31" dt2D="0" dtr="0" r1="N7"/>
        <v>0</v>
      </c>
      <c r="AA12" s="6">
        <v>0</v>
      </c>
      <c r="AB12" s="6">
        <v>0</v>
      </c>
    </row>
    <row r="13" spans="2:28" x14ac:dyDescent="0.3">
      <c r="C13" s="2">
        <v>2</v>
      </c>
      <c r="G13" s="6"/>
      <c r="H13" s="7"/>
      <c r="I13" s="6"/>
      <c r="M13" s="6"/>
      <c r="N13" s="6"/>
      <c r="O13" s="6"/>
      <c r="Y13" s="6">
        <f>Y12+0.01</f>
        <v>0.02</v>
      </c>
      <c r="Z13" s="6">
        <v>0</v>
      </c>
      <c r="AA13" s="6">
        <v>0</v>
      </c>
      <c r="AB13" s="6">
        <v>0</v>
      </c>
    </row>
    <row r="14" spans="2:28" x14ac:dyDescent="0.3">
      <c r="C14" s="2">
        <v>3</v>
      </c>
      <c r="G14" s="6"/>
      <c r="H14" s="7"/>
      <c r="I14" s="6"/>
      <c r="M14" s="6"/>
      <c r="N14" s="6"/>
      <c r="O14" s="6"/>
      <c r="Y14" s="6">
        <f t="shared" ref="Y14:Y30" si="0">Y13+0.01</f>
        <v>0.03</v>
      </c>
      <c r="Z14" s="6">
        <v>0</v>
      </c>
      <c r="AA14" s="6">
        <v>0</v>
      </c>
      <c r="AB14" s="6">
        <v>0</v>
      </c>
    </row>
    <row r="15" spans="2:28" x14ac:dyDescent="0.3">
      <c r="C15" s="2">
        <v>4</v>
      </c>
      <c r="G15" s="6"/>
      <c r="H15" s="7"/>
      <c r="I15" s="6"/>
      <c r="M15" s="6"/>
      <c r="N15" s="6"/>
      <c r="O15" s="6"/>
      <c r="Y15" s="6">
        <f t="shared" si="0"/>
        <v>0.04</v>
      </c>
      <c r="Z15" s="6">
        <v>0</v>
      </c>
      <c r="AA15" s="6">
        <v>0</v>
      </c>
      <c r="AB15" s="6">
        <v>0</v>
      </c>
    </row>
    <row r="16" spans="2:28" x14ac:dyDescent="0.3">
      <c r="C16" s="2">
        <v>5</v>
      </c>
      <c r="G16" s="6"/>
      <c r="H16" s="7"/>
      <c r="I16" s="6"/>
      <c r="M16" s="6"/>
      <c r="N16" s="6"/>
      <c r="O16" s="6"/>
      <c r="Y16" s="6">
        <f t="shared" si="0"/>
        <v>0.05</v>
      </c>
      <c r="Z16" s="6">
        <v>0</v>
      </c>
      <c r="AA16" s="6">
        <v>0</v>
      </c>
      <c r="AB16" s="6">
        <v>0</v>
      </c>
    </row>
    <row r="17" spans="2:28" x14ac:dyDescent="0.3">
      <c r="G17" s="6"/>
      <c r="H17" s="8"/>
      <c r="I17" s="9"/>
      <c r="J17" s="21"/>
      <c r="K17" s="21"/>
      <c r="Y17" s="6">
        <f t="shared" si="0"/>
        <v>6.0000000000000005E-2</v>
      </c>
      <c r="Z17" s="6">
        <v>0</v>
      </c>
      <c r="AA17" s="6">
        <v>0</v>
      </c>
      <c r="AB17" s="6">
        <v>0</v>
      </c>
    </row>
    <row r="18" spans="2:28" x14ac:dyDescent="0.3">
      <c r="Y18" s="6">
        <f t="shared" si="0"/>
        <v>7.0000000000000007E-2</v>
      </c>
      <c r="Z18" s="6">
        <v>0</v>
      </c>
      <c r="AA18" s="6">
        <v>0</v>
      </c>
      <c r="AB18" s="6">
        <v>0</v>
      </c>
    </row>
    <row r="19" spans="2:28" x14ac:dyDescent="0.3">
      <c r="G19" s="7"/>
      <c r="Y19" s="6">
        <f t="shared" si="0"/>
        <v>0.08</v>
      </c>
      <c r="Z19" s="6">
        <v>0</v>
      </c>
      <c r="AA19" s="6">
        <v>0</v>
      </c>
      <c r="AB19" s="6">
        <v>0</v>
      </c>
    </row>
    <row r="20" spans="2:28" x14ac:dyDescent="0.3">
      <c r="M20" s="6"/>
      <c r="N20" s="6"/>
      <c r="O20" s="6"/>
      <c r="Y20" s="6">
        <f t="shared" si="0"/>
        <v>0.09</v>
      </c>
      <c r="Z20" s="6">
        <v>0</v>
      </c>
      <c r="AA20" s="6">
        <v>0</v>
      </c>
      <c r="AB20" s="6">
        <v>0</v>
      </c>
    </row>
    <row r="21" spans="2:28" x14ac:dyDescent="0.3">
      <c r="Y21" s="6">
        <f t="shared" si="0"/>
        <v>9.9999999999999992E-2</v>
      </c>
      <c r="Z21" s="6">
        <v>0</v>
      </c>
      <c r="AA21" s="6">
        <v>0</v>
      </c>
      <c r="AB21" s="6">
        <v>0</v>
      </c>
    </row>
    <row r="22" spans="2:28" x14ac:dyDescent="0.3">
      <c r="B22" s="2" t="s">
        <v>16</v>
      </c>
      <c r="C22" s="2" t="s">
        <v>37</v>
      </c>
      <c r="Y22" s="6">
        <f t="shared" si="0"/>
        <v>0.10999999999999999</v>
      </c>
      <c r="Z22" s="6">
        <v>0</v>
      </c>
      <c r="AA22" s="6">
        <v>0</v>
      </c>
      <c r="AB22" s="6">
        <v>0</v>
      </c>
    </row>
    <row r="23" spans="2:28" x14ac:dyDescent="0.3">
      <c r="Y23" s="6">
        <f>Y22+0.01</f>
        <v>0.11999999999999998</v>
      </c>
      <c r="Z23" s="6">
        <v>0</v>
      </c>
      <c r="AA23" s="6">
        <v>0</v>
      </c>
      <c r="AB23" s="6">
        <v>0</v>
      </c>
    </row>
    <row r="24" spans="2:28" x14ac:dyDescent="0.3">
      <c r="Y24" s="6">
        <f t="shared" si="0"/>
        <v>0.12999999999999998</v>
      </c>
      <c r="Z24" s="6">
        <v>0</v>
      </c>
      <c r="AA24" s="6">
        <v>0</v>
      </c>
      <c r="AB24" s="6">
        <v>0</v>
      </c>
    </row>
    <row r="25" spans="2:28" x14ac:dyDescent="0.3">
      <c r="Y25" s="6">
        <f>Y24+0.01</f>
        <v>0.13999999999999999</v>
      </c>
      <c r="Z25" s="6">
        <v>0</v>
      </c>
      <c r="AA25" s="6">
        <v>0</v>
      </c>
      <c r="AB25" s="6">
        <v>0</v>
      </c>
    </row>
    <row r="26" spans="2:28" x14ac:dyDescent="0.3">
      <c r="Y26" s="6">
        <f t="shared" si="0"/>
        <v>0.15</v>
      </c>
      <c r="Z26" s="6">
        <v>0</v>
      </c>
      <c r="AA26" s="6">
        <v>0</v>
      </c>
      <c r="AB26" s="6">
        <v>0</v>
      </c>
    </row>
    <row r="27" spans="2:28" x14ac:dyDescent="0.3">
      <c r="Y27" s="6">
        <f t="shared" si="0"/>
        <v>0.16</v>
      </c>
      <c r="Z27" s="6">
        <v>0</v>
      </c>
      <c r="AA27" s="6">
        <v>0</v>
      </c>
      <c r="AB27" s="6">
        <v>0</v>
      </c>
    </row>
    <row r="28" spans="2:28" x14ac:dyDescent="0.3">
      <c r="B28" s="2" t="s">
        <v>17</v>
      </c>
      <c r="C28" s="2" t="s">
        <v>39</v>
      </c>
      <c r="Y28" s="6">
        <f>Y27+0.01</f>
        <v>0.17</v>
      </c>
      <c r="Z28" s="6">
        <v>0</v>
      </c>
      <c r="AA28" s="6">
        <v>0</v>
      </c>
      <c r="AB28" s="6">
        <v>0</v>
      </c>
    </row>
    <row r="29" spans="2:28" x14ac:dyDescent="0.3">
      <c r="Y29" s="6">
        <f t="shared" si="0"/>
        <v>0.18000000000000002</v>
      </c>
      <c r="Z29" s="6">
        <v>0</v>
      </c>
      <c r="AA29" s="6">
        <v>0</v>
      </c>
      <c r="AB29" s="6">
        <v>0</v>
      </c>
    </row>
    <row r="30" spans="2:28" x14ac:dyDescent="0.3">
      <c r="F30" s="25" t="s">
        <v>41</v>
      </c>
      <c r="G30" s="25"/>
      <c r="Y30" s="6">
        <f t="shared" si="0"/>
        <v>0.19000000000000003</v>
      </c>
      <c r="Z30" s="6">
        <v>0</v>
      </c>
      <c r="AA30" s="6">
        <v>0</v>
      </c>
      <c r="AB30" s="6">
        <v>0</v>
      </c>
    </row>
    <row r="31" spans="2:28" x14ac:dyDescent="0.3">
      <c r="F31" s="3">
        <v>0.01</v>
      </c>
      <c r="G31" s="3">
        <v>-0.01</v>
      </c>
      <c r="Y31" s="6">
        <f>Y30+0.01</f>
        <v>0.20000000000000004</v>
      </c>
      <c r="Z31" s="6">
        <v>0</v>
      </c>
      <c r="AA31" s="6">
        <v>0</v>
      </c>
      <c r="AB31" s="6">
        <v>0</v>
      </c>
    </row>
    <row r="32" spans="2:28" x14ac:dyDescent="0.3">
      <c r="F32" s="21">
        <f>-$I$17*F31</f>
        <v>0</v>
      </c>
      <c r="G32" s="21">
        <f>-$I$17*G31</f>
        <v>0</v>
      </c>
    </row>
    <row r="33" spans="2:7" x14ac:dyDescent="0.3">
      <c r="F33" s="21"/>
      <c r="G33" s="21"/>
    </row>
    <row r="34" spans="2:7" x14ac:dyDescent="0.3">
      <c r="B34" s="2" t="s">
        <v>15</v>
      </c>
      <c r="C34" s="2" t="s">
        <v>13</v>
      </c>
    </row>
    <row r="35" spans="2:7" x14ac:dyDescent="0.3">
      <c r="C35" s="2" t="s">
        <v>14</v>
      </c>
    </row>
  </sheetData>
  <mergeCells count="2">
    <mergeCell ref="F30:G30"/>
    <mergeCell ref="J10:K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pinner 2">
              <controlPr locked="0" defaultSize="0" autoPict="0">
                <anchor moveWithCells="1" sizeWithCells="1">
                  <from>
                    <xdr:col>14</xdr:col>
                    <xdr:colOff>327660</xdr:colOff>
                    <xdr:row>5</xdr:row>
                    <xdr:rowOff>83820</xdr:rowOff>
                  </from>
                  <to>
                    <xdr:col>14</xdr:col>
                    <xdr:colOff>693420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PLAZO DE VENCIMIENTO</vt:lpstr>
      <vt:lpstr>TAMAÑO DE CUPÓN</vt:lpstr>
      <vt:lpstr>FRECUENCIA DE CUPON</vt:lpstr>
      <vt:lpstr>DURATION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TRUCCO</dc:creator>
  <cp:lastModifiedBy>Agustin Trucco</cp:lastModifiedBy>
  <dcterms:created xsi:type="dcterms:W3CDTF">2017-09-03T13:52:40Z</dcterms:created>
  <dcterms:modified xsi:type="dcterms:W3CDTF">2023-04-03T13:12:28Z</dcterms:modified>
</cp:coreProperties>
</file>